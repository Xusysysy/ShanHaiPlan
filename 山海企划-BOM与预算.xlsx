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BOM明细" sheetId="2" state="visible" r:id="rId2"/>
    <sheet xmlns:r="http://schemas.openxmlformats.org/officeDocument/2006/relationships" name="预算汇总" sheetId="3" state="visible" r:id="rId3"/>
    <sheet xmlns:r="http://schemas.openxmlformats.org/officeDocument/2006/relationships" name="服务器配置单" sheetId="4" state="visible" r:id="rId4"/>
    <sheet xmlns:r="http://schemas.openxmlformats.org/officeDocument/2006/relationships" name="采购跟踪" sheetId="5" state="visible" r:id="rId5"/>
  </sheets>
  <definedNames>
    <definedName name="_xlnm._FilterDatabase" localSheetId="1" hidden="1">'BOM明细'!$A$1:$N$37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F3A5F"/>
      <sz val="16"/>
    </font>
    <font>
      <name val="微软雅黑"/>
      <color rgb="001F1F1F"/>
      <sz val="10"/>
    </font>
    <font>
      <name val="微软雅黑"/>
      <color rgb="001F1F1F"/>
      <sz val="10.5"/>
    </font>
    <font>
      <name val="微软雅黑"/>
      <b val="1"/>
      <color rgb="001F1F1F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1F3A5F"/>
      <sz val="14"/>
    </font>
    <font>
      <name val="微软雅黑"/>
      <b val="1"/>
      <color rgb="000033CC"/>
      <sz val="10"/>
    </font>
    <font>
      <name val="微软雅黑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EAF2FB"/>
      </patternFill>
    </fill>
    <fill>
      <patternFill patternType="solid">
        <fgColor rgb="00EFF7EC"/>
      </patternFill>
    </fill>
    <fill>
      <patternFill patternType="solid">
        <fgColor rgb="00FBF3E4"/>
      </patternFill>
    </fill>
    <fill>
      <patternFill patternType="solid">
        <fgColor rgb="00F3EFF7"/>
      </patternFill>
    </fill>
    <fill>
      <patternFill patternType="solid">
        <fgColor rgb="00FDEE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3" fontId="6" fillId="8" borderId="1" applyAlignment="1" pivotButton="0" quotePrefix="0" xfId="0">
      <alignment horizontal="center" vertical="center"/>
    </xf>
    <xf numFmtId="4" fontId="6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3" fontId="6" fillId="9" borderId="1" applyAlignment="1" pivotButton="0" quotePrefix="0" xfId="0">
      <alignment horizontal="center" vertical="center"/>
    </xf>
    <xf numFmtId="0" fontId="10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山海企划 · 义卖系统 BOM 与预算</t>
        </is>
      </c>
    </row>
    <row r="3">
      <c r="B3" s="2" t="inlineStr"/>
    </row>
    <row r="4">
      <c r="B4" s="3" t="inlineStr">
        <is>
          <t>用途：采购与征借跟踪。配套《山海企划-项目文档.docx》第 11 章与 docs/10-BOM物料清单与预算.md。</t>
        </is>
      </c>
    </row>
    <row r="5">
      <c r="B5" s="2" t="inlineStr"/>
    </row>
    <row r="6">
      <c r="B6" s="4" t="inlineStr">
        <is>
          <t>工作表结构：</t>
        </is>
      </c>
    </row>
    <row r="7">
      <c r="B7" s="3" t="inlineStr">
        <is>
          <t xml:space="preserve">  1) BOM明细 —— 36 项物料，小计为公式（改数量/单价自动重算）；「征借优先=是」的行在征借两列按 0 计提。</t>
        </is>
      </c>
    </row>
    <row r="8">
      <c r="B8" s="3" t="inlineStr">
        <is>
          <t xml:space="preserve">  2) 预算汇总 —— 按类别 SUMIF 汇总 + 备用金率（黄色输入格，可改）+ 合计，双档：全新采购 / 征借优先。</t>
        </is>
      </c>
    </row>
    <row r="9">
      <c r="B9" s="3" t="inlineStr">
        <is>
          <t xml:space="preserve">  3) 服务器配置单 —— 三台服务器的规格、端口、数据与备份策略。</t>
        </is>
      </c>
    </row>
    <row r="10">
      <c r="B10" s="3" t="inlineStr">
        <is>
          <t xml:space="preserve">  4) 采购跟踪 —— 按 W1–W8 的采购/验收动作，状态下拉可选。</t>
        </is>
      </c>
    </row>
    <row r="11">
      <c r="B11" s="2" t="inlineStr"/>
    </row>
    <row r="12">
      <c r="B12" s="4" t="inlineStr">
        <is>
          <t>颜色约定：</t>
        </is>
      </c>
    </row>
    <row r="13">
      <c r="B13" s="3" t="inlineStr">
        <is>
          <t xml:space="preserve">  表头深蓝底白字；黄色底=可修改的输入格；其余数值均为公式，请勿直接改写。</t>
        </is>
      </c>
    </row>
    <row r="14">
      <c r="B14" s="2" t="inlineStr"/>
    </row>
    <row r="15">
      <c r="B15" s="3" t="inlineStr">
        <is>
          <t>提醒：单价为 2026 年电商/租赁市场参考区间；G 类纪念品（约 3,000 份 × 2–5 元）由业务口另行立项，不计入系统侧合计。</t>
        </is>
      </c>
    </row>
    <row r="16">
      <c r="B16" s="3" t="inlineStr">
        <is>
          <t>密钥/激活码等无形资产不在 BOM 内，见《部署与现场运维手册》密钥包条目。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7" customWidth="1" min="3" max="3"/>
    <col width="46" customWidth="1" min="4" max="4"/>
    <col width="6" customWidth="1" min="5" max="5"/>
    <col width="6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  <col width="8" customWidth="1" min="13" max="13"/>
    <col width="26" customWidth="1" min="14" max="14"/>
  </cols>
  <sheetData>
    <row r="1">
      <c r="A1" s="5" t="inlineStr">
        <is>
          <t>编号</t>
        </is>
      </c>
      <c r="B1" s="5" t="inlineStr">
        <is>
          <t>类别</t>
        </is>
      </c>
      <c r="C1" s="5" t="inlineStr">
        <is>
          <t>物料名称</t>
        </is>
      </c>
      <c r="D1" s="5" t="inlineStr">
        <is>
          <t>规格说明</t>
        </is>
      </c>
      <c r="E1" s="5" t="inlineStr">
        <is>
          <t>数量</t>
        </is>
      </c>
      <c r="F1" s="5" t="inlineStr">
        <is>
          <t>单位</t>
        </is>
      </c>
      <c r="G1" s="5" t="inlineStr">
        <is>
          <t>单价低(¥)</t>
        </is>
      </c>
      <c r="H1" s="5" t="inlineStr">
        <is>
          <t>单价高(¥)</t>
        </is>
      </c>
      <c r="I1" s="5" t="inlineStr">
        <is>
          <t>全新·小计低</t>
        </is>
      </c>
      <c r="J1" s="5" t="inlineStr">
        <is>
          <t>全新·小计高</t>
        </is>
      </c>
      <c r="K1" s="5" t="inlineStr">
        <is>
          <t>征借·小计低</t>
        </is>
      </c>
      <c r="L1" s="5" t="inlineStr">
        <is>
          <t>征借·小计高</t>
        </is>
      </c>
      <c r="M1" s="5" t="inlineStr">
        <is>
          <t>征借优先</t>
        </is>
      </c>
      <c r="N1" s="5" t="inlineStr">
        <is>
          <t>备注</t>
        </is>
      </c>
    </row>
    <row r="2">
      <c r="A2" s="6" t="inlineStr">
        <is>
          <t>A1</t>
        </is>
      </c>
      <c r="B2" s="6" t="inlineStr">
        <is>
          <t>A 云资源与计算</t>
        </is>
      </c>
      <c r="C2" s="7" t="inlineStr">
        <is>
          <t>云服务器·前端聚合（F1+F2）</t>
        </is>
      </c>
      <c r="D2" s="7" t="inlineStr">
        <is>
          <t>华为云 ECS 16C32G，系统盘+数据盘 500G，EIP 带宽峰值 500M（按流量计费）；TLS 网关 SNI 分流 api/static；shs-catalog + shs-trade 双进程</t>
        </is>
      </c>
      <c r="E2" s="8" t="n">
        <v>1</v>
      </c>
      <c r="F2" s="6" t="inlineStr">
        <is>
          <t>台</t>
        </is>
      </c>
      <c r="G2" s="9" t="n">
        <v>1300</v>
      </c>
      <c r="H2" s="9" t="n">
        <v>3200</v>
      </c>
      <c r="I2" s="8">
        <f>E2*G2</f>
        <v/>
      </c>
      <c r="J2" s="8">
        <f>E2*H2</f>
        <v/>
      </c>
      <c r="K2" s="8">
        <f>IF($M2="是",0,I2)</f>
        <v/>
      </c>
      <c r="L2" s="8">
        <f>IF($M2="是",0,J2)</f>
        <v/>
      </c>
      <c r="M2" s="6" t="inlineStr">
        <is>
          <t>否</t>
        </is>
      </c>
      <c r="N2" s="7" t="inlineStr">
        <is>
          <t>包月 1–2 个月，活动后释放/降配；4C8G 即满足论证容量，16C32G 为余量/复用选择</t>
        </is>
      </c>
    </row>
    <row r="3">
      <c r="A3" s="6" t="inlineStr">
        <is>
          <t>A2</t>
        </is>
      </c>
      <c r="B3" s="6" t="inlineStr">
        <is>
          <t>A 云资源与计算</t>
        </is>
      </c>
      <c r="C3" s="7" t="inlineStr">
        <is>
          <t>云服务器·BE（账本）</t>
        </is>
      </c>
      <c r="D3" s="7" t="inlineStr">
        <is>
          <t>华为云 ECS 2C4G，数据盘 40G，公网 IP；shs-core</t>
        </is>
      </c>
      <c r="E3" s="8" t="n">
        <v>1</v>
      </c>
      <c r="F3" s="6" t="inlineStr">
        <is>
          <t>台</t>
        </is>
      </c>
      <c r="G3" s="9" t="n">
        <v>150</v>
      </c>
      <c r="H3" s="9" t="n">
        <v>400</v>
      </c>
      <c r="I3" s="8">
        <f>E3*G3</f>
        <v/>
      </c>
      <c r="J3" s="8">
        <f>E3*H3</f>
        <v/>
      </c>
      <c r="K3" s="8">
        <f>IF($M3="是",0,I3)</f>
        <v/>
      </c>
      <c r="L3" s="8">
        <f>IF($M3="是",0,J3)</f>
        <v/>
      </c>
      <c r="M3" s="6" t="inlineStr">
        <is>
          <t>否</t>
        </is>
      </c>
      <c r="N3" s="7" t="inlineStr">
        <is>
          <t>与聚合机分离保留故障域</t>
        </is>
      </c>
    </row>
    <row r="4">
      <c r="A4" s="6" t="inlineStr">
        <is>
          <t>A3</t>
        </is>
      </c>
      <c r="B4" s="6" t="inlineStr">
        <is>
          <t>A 云资源与计算</t>
        </is>
      </c>
      <c r="C4" s="7" t="inlineStr">
        <is>
          <t>CDN 流量包</t>
        </is>
      </c>
      <c r="D4" s="7" t="inlineStr">
        <is>
          <t>≥100GB；图片/静态边缘分流≈90% 读流量；/api/* 一律不缓存</t>
        </is>
      </c>
      <c r="E4" s="8" t="n">
        <v>1</v>
      </c>
      <c r="F4" s="6" t="inlineStr">
        <is>
          <t>个</t>
        </is>
      </c>
      <c r="G4" s="9" t="n">
        <v>20</v>
      </c>
      <c r="H4" s="9" t="n">
        <v>60</v>
      </c>
      <c r="I4" s="8">
        <f>E4*G4</f>
        <v/>
      </c>
      <c r="J4" s="8">
        <f>E4*H4</f>
        <v/>
      </c>
      <c r="K4" s="8">
        <f>IF($M4="是",0,I4)</f>
        <v/>
      </c>
      <c r="L4" s="8">
        <f>IF($M4="是",0,J4)</f>
        <v/>
      </c>
      <c r="M4" s="6" t="inlineStr">
        <is>
          <t>否</t>
        </is>
      </c>
      <c r="N4" s="7" t="inlineStr"/>
    </row>
    <row r="5">
      <c r="A5" s="6" t="inlineStr">
        <is>
          <t>A4</t>
        </is>
      </c>
      <c r="B5" s="6" t="inlineStr">
        <is>
          <t>A 云资源与计算</t>
        </is>
      </c>
      <c r="C5" s="7" t="inlineStr">
        <is>
          <t>域名 + SSL 证书</t>
        </is>
      </c>
      <c r="D5" s="7" t="inlineStr">
        <is>
          <t>备案域名一年 + 云免费证书 ×3（edge/be/static）</t>
        </is>
      </c>
      <c r="E5" s="8" t="n">
        <v>1</v>
      </c>
      <c r="F5" s="6" t="inlineStr">
        <is>
          <t>项</t>
        </is>
      </c>
      <c r="G5" s="9" t="n">
        <v>50</v>
      </c>
      <c r="H5" s="9" t="n">
        <v>100</v>
      </c>
      <c r="I5" s="8">
        <f>E5*G5</f>
        <v/>
      </c>
      <c r="J5" s="8">
        <f>E5*H5</f>
        <v/>
      </c>
      <c r="K5" s="8">
        <f>IF($M5="是",0,I5)</f>
        <v/>
      </c>
      <c r="L5" s="8">
        <f>IF($M5="是",0,J5)</f>
        <v/>
      </c>
      <c r="M5" s="6" t="inlineStr">
        <is>
          <t>否</t>
        </is>
      </c>
      <c r="N5" s="7" t="inlineStr">
        <is>
          <t>★ 备案周期 1–3 周，W1 立即启动</t>
        </is>
      </c>
    </row>
    <row r="6">
      <c r="A6" s="6" t="inlineStr">
        <is>
          <t>A5</t>
        </is>
      </c>
      <c r="B6" s="6" t="inlineStr">
        <is>
          <t>A 云资源与计算</t>
        </is>
      </c>
      <c r="C6" s="7" t="inlineStr">
        <is>
          <t>对象存储（可选）</t>
        </is>
      </c>
      <c r="D6" s="7" t="inlineStr">
        <is>
          <t>50GB 备份桶（数据三备份介质之一）</t>
        </is>
      </c>
      <c r="E6" s="8" t="n">
        <v>1</v>
      </c>
      <c r="F6" s="6" t="inlineStr">
        <is>
          <t>个</t>
        </is>
      </c>
      <c r="G6" s="9" t="n">
        <v>0</v>
      </c>
      <c r="H6" s="9" t="n">
        <v>30</v>
      </c>
      <c r="I6" s="8">
        <f>E6*G6</f>
        <v/>
      </c>
      <c r="J6" s="8">
        <f>E6*H6</f>
        <v/>
      </c>
      <c r="K6" s="8">
        <f>IF($M6="是",0,I6)</f>
        <v/>
      </c>
      <c r="L6" s="8">
        <f>IF($M6="是",0,J6)</f>
        <v/>
      </c>
      <c r="M6" s="6" t="inlineStr">
        <is>
          <t>否</t>
        </is>
      </c>
      <c r="N6" s="7" t="inlineStr">
        <is>
          <t>可用云盘快照替代</t>
        </is>
      </c>
    </row>
    <row r="7">
      <c r="A7" s="6" t="inlineStr">
        <is>
          <t>A6</t>
        </is>
      </c>
      <c r="B7" s="6" t="inlineStr">
        <is>
          <t>A 云资源与计算</t>
        </is>
      </c>
      <c r="C7" s="7" t="inlineStr">
        <is>
          <t>运维笔记本</t>
        </is>
      </c>
      <c r="D7" s="7" t="inlineStr">
        <is>
          <t>现场管理/监控大屏/离线备份，SSH 密钥</t>
        </is>
      </c>
      <c r="E7" s="8" t="n">
        <v>1</v>
      </c>
      <c r="F7" s="6" t="inlineStr">
        <is>
          <t>台</t>
        </is>
      </c>
      <c r="G7" s="9" t="n">
        <v>0</v>
      </c>
      <c r="H7" s="9" t="n">
        <v>0</v>
      </c>
      <c r="I7" s="8">
        <f>E7*G7</f>
        <v/>
      </c>
      <c r="J7" s="8">
        <f>E7*H7</f>
        <v/>
      </c>
      <c r="K7" s="8">
        <f>IF($M7="是",0,I7)</f>
        <v/>
      </c>
      <c r="L7" s="8">
        <f>IF($M7="是",0,J7)</f>
        <v/>
      </c>
      <c r="M7" s="6" t="inlineStr">
        <is>
          <t>是</t>
        </is>
      </c>
      <c r="N7" s="7" t="inlineStr">
        <is>
          <t>仅征借</t>
        </is>
      </c>
    </row>
    <row r="8">
      <c r="A8" s="6" t="inlineStr">
        <is>
          <t>A7</t>
        </is>
      </c>
      <c r="B8" s="6" t="inlineStr">
        <is>
          <t>A 云资源与计算</t>
        </is>
      </c>
      <c r="C8" s="7" t="inlineStr">
        <is>
          <t>备份 U 盘</t>
        </is>
      </c>
      <c r="D8" s="7" t="inlineStr">
        <is>
          <t>64G USB3 ×2（账本离线双介质，活动结束当场带离）</t>
        </is>
      </c>
      <c r="E8" s="8" t="n">
        <v>2</v>
      </c>
      <c r="F8" s="6" t="inlineStr">
        <is>
          <t>个</t>
        </is>
      </c>
      <c r="G8" s="9" t="n">
        <v>35</v>
      </c>
      <c r="H8" s="9" t="n">
        <v>60</v>
      </c>
      <c r="I8" s="8">
        <f>E8*G8</f>
        <v/>
      </c>
      <c r="J8" s="8">
        <f>E8*H8</f>
        <v/>
      </c>
      <c r="K8" s="8">
        <f>IF($M8="是",0,I8)</f>
        <v/>
      </c>
      <c r="L8" s="8">
        <f>IF($M8="是",0,J8)</f>
        <v/>
      </c>
      <c r="M8" s="6" t="inlineStr">
        <is>
          <t>否</t>
        </is>
      </c>
      <c r="N8" s="7" t="inlineStr">
        <is>
          <t>★ 安全库存必须</t>
        </is>
      </c>
    </row>
    <row r="9">
      <c r="A9" s="6" t="inlineStr">
        <is>
          <t>A8</t>
        </is>
      </c>
      <c r="B9" s="6" t="inlineStr">
        <is>
          <t>A 云资源与计算</t>
        </is>
      </c>
      <c r="C9" s="7" t="inlineStr">
        <is>
          <t>入口大屏动态码终端</t>
        </is>
      </c>
      <c r="D9" s="7" t="inlineStr">
        <is>
          <t>平板/笔记本/一体机，横屏 ≥10 英寸（每 2s 刷新入场码）</t>
        </is>
      </c>
      <c r="E9" s="8" t="n">
        <v>1</v>
      </c>
      <c r="F9" s="6" t="inlineStr">
        <is>
          <t>台</t>
        </is>
      </c>
      <c r="G9" s="9" t="n">
        <v>800</v>
      </c>
      <c r="H9" s="9" t="n">
        <v>1200</v>
      </c>
      <c r="I9" s="8">
        <f>E9*G9</f>
        <v/>
      </c>
      <c r="J9" s="8">
        <f>E9*H9</f>
        <v/>
      </c>
      <c r="K9" s="8">
        <f>IF($M9="是",0,I9)</f>
        <v/>
      </c>
      <c r="L9" s="8">
        <f>IF($M9="是",0,J9)</f>
        <v/>
      </c>
      <c r="M9" s="6" t="inlineStr">
        <is>
          <t>是</t>
        </is>
      </c>
      <c r="N9" s="7" t="inlineStr">
        <is>
          <t>配支架</t>
        </is>
      </c>
    </row>
    <row r="10">
      <c r="A10" s="6" t="inlineStr">
        <is>
          <t>A9</t>
        </is>
      </c>
      <c r="B10" s="6" t="inlineStr">
        <is>
          <t>A 云资源与计算</t>
        </is>
      </c>
      <c r="C10" s="7" t="inlineStr">
        <is>
          <t>大屏支架/桌架</t>
        </is>
      </c>
      <c r="D10" s="7" t="inlineStr">
        <is>
          <t>落地或桌面支架，顾客扫码高度约 1.2m</t>
        </is>
      </c>
      <c r="E10" s="8" t="n">
        <v>1</v>
      </c>
      <c r="F10" s="6" t="inlineStr">
        <is>
          <t>个</t>
        </is>
      </c>
      <c r="G10" s="9" t="n">
        <v>60</v>
      </c>
      <c r="H10" s="9" t="n">
        <v>150</v>
      </c>
      <c r="I10" s="8">
        <f>E10*G10</f>
        <v/>
      </c>
      <c r="J10" s="8">
        <f>E10*H10</f>
        <v/>
      </c>
      <c r="K10" s="8">
        <f>IF($M10="是",0,I10)</f>
        <v/>
      </c>
      <c r="L10" s="8">
        <f>IF($M10="是",0,J10)</f>
        <v/>
      </c>
      <c r="M10" s="6" t="inlineStr">
        <is>
          <t>否</t>
        </is>
      </c>
      <c r="N10" s="7" t="inlineStr"/>
    </row>
    <row r="11">
      <c r="A11" s="10" t="inlineStr">
        <is>
          <t>B1</t>
        </is>
      </c>
      <c r="B11" s="10" t="inlineStr">
        <is>
          <t>B 网络设备</t>
        </is>
      </c>
      <c r="C11" s="11" t="inlineStr">
        <is>
          <t>QCI6 CPE（主）</t>
        </is>
      </c>
      <c r="D11" s="11" t="inlineStr">
        <is>
          <t>5G/4G CPE，带千兆 LAN + Wi-Fi，现场统一出口</t>
        </is>
      </c>
      <c r="E11" s="12" t="n">
        <v>1</v>
      </c>
      <c r="F11" s="10" t="inlineStr">
        <is>
          <t>台</t>
        </is>
      </c>
      <c r="G11" s="13" t="n">
        <v>400</v>
      </c>
      <c r="H11" s="13" t="n">
        <v>700</v>
      </c>
      <c r="I11" s="12">
        <f>E11*G11</f>
        <v/>
      </c>
      <c r="J11" s="12">
        <f>E11*H11</f>
        <v/>
      </c>
      <c r="K11" s="12">
        <f>IF($M11="是",0,I11)</f>
        <v/>
      </c>
      <c r="L11" s="12">
        <f>IF($M11="是",0,J11)</f>
        <v/>
      </c>
      <c r="M11" s="10" t="inlineStr">
        <is>
          <t>否</t>
        </is>
      </c>
      <c r="N11" s="11" t="inlineStr">
        <is>
          <t>出口仅 API 流量（CDN 已卸载图片）</t>
        </is>
      </c>
    </row>
    <row r="12">
      <c r="A12" s="10" t="inlineStr">
        <is>
          <t>B2</t>
        </is>
      </c>
      <c r="B12" s="10" t="inlineStr">
        <is>
          <t>B 网络设备</t>
        </is>
      </c>
      <c r="C12" s="11" t="inlineStr">
        <is>
          <t>QCI6 CPE（备）</t>
        </is>
      </c>
      <c r="D12" s="11" t="inlineStr">
        <is>
          <t>同上，冷备换插即用 ≤5min</t>
        </is>
      </c>
      <c r="E12" s="12" t="n">
        <v>1</v>
      </c>
      <c r="F12" s="10" t="inlineStr">
        <is>
          <t>台</t>
        </is>
      </c>
      <c r="G12" s="13" t="n">
        <v>400</v>
      </c>
      <c r="H12" s="13" t="n">
        <v>700</v>
      </c>
      <c r="I12" s="12">
        <f>E12*G12</f>
        <v/>
      </c>
      <c r="J12" s="12">
        <f>E12*H12</f>
        <v/>
      </c>
      <c r="K12" s="12">
        <f>IF($M12="是",0,I12)</f>
        <v/>
      </c>
      <c r="L12" s="12">
        <f>IF($M12="是",0,J12)</f>
        <v/>
      </c>
      <c r="M12" s="10" t="inlineStr">
        <is>
          <t>否</t>
        </is>
      </c>
      <c r="N12" s="11" t="inlineStr">
        <is>
          <t>异网 SIM</t>
        </is>
      </c>
    </row>
    <row r="13">
      <c r="A13" s="10" t="inlineStr">
        <is>
          <t>B3</t>
        </is>
      </c>
      <c r="B13" s="10" t="inlineStr">
        <is>
          <t>B 网络设备</t>
        </is>
      </c>
      <c r="C13" s="11" t="inlineStr">
        <is>
          <t>数据 SIM 卡</t>
        </is>
      </c>
      <c r="D13" s="11" t="inlineStr">
        <is>
          <t>流量包 ≥20G/卡，分属两家运营商</t>
        </is>
      </c>
      <c r="E13" s="12" t="n">
        <v>2</v>
      </c>
      <c r="F13" s="10" t="inlineStr">
        <is>
          <t>张</t>
        </is>
      </c>
      <c r="G13" s="13" t="n">
        <v>0</v>
      </c>
      <c r="H13" s="13" t="n">
        <v>0</v>
      </c>
      <c r="I13" s="12">
        <f>E13*G13</f>
        <v/>
      </c>
      <c r="J13" s="12">
        <f>E13*H13</f>
        <v/>
      </c>
      <c r="K13" s="12">
        <f>IF($M13="是",0,I13)</f>
        <v/>
      </c>
      <c r="L13" s="12">
        <f>IF($M13="是",0,J13)</f>
        <v/>
      </c>
      <c r="M13" s="10" t="inlineStr">
        <is>
          <t>否</t>
        </is>
      </c>
      <c r="N13" s="11" t="inlineStr">
        <is>
          <t>已办理√（存量）</t>
        </is>
      </c>
    </row>
    <row r="14">
      <c r="A14" s="10" t="inlineStr">
        <is>
          <t>B4</t>
        </is>
      </c>
      <c r="B14" s="10" t="inlineStr">
        <is>
          <t>B 网络设备</t>
        </is>
      </c>
      <c r="C14" s="11" t="inlineStr">
        <is>
          <t>核心路由器</t>
        </is>
      </c>
      <c r="D14" s="11" t="inlineStr">
        <is>
          <t>千兆，可刷 OpenWrt（防火墙/静态路由/DNS）</t>
        </is>
      </c>
      <c r="E14" s="12" t="n">
        <v>1</v>
      </c>
      <c r="F14" s="10" t="inlineStr">
        <is>
          <t>台</t>
        </is>
      </c>
      <c r="G14" s="13" t="n">
        <v>150</v>
      </c>
      <c r="H14" s="13" t="n">
        <v>300</v>
      </c>
      <c r="I14" s="12">
        <f>E14*G14</f>
        <v/>
      </c>
      <c r="J14" s="12">
        <f>E14*H14</f>
        <v/>
      </c>
      <c r="K14" s="12">
        <f>IF($M14="是",0,I14)</f>
        <v/>
      </c>
      <c r="L14" s="12">
        <f>IF($M14="是",0,J14)</f>
        <v/>
      </c>
      <c r="M14" s="10" t="inlineStr">
        <is>
          <t>是</t>
        </is>
      </c>
      <c r="N14" s="11" t="inlineStr">
        <is>
          <t>或 CPE 路由模式直挂</t>
        </is>
      </c>
    </row>
    <row r="15">
      <c r="A15" s="10" t="inlineStr">
        <is>
          <t>B5</t>
        </is>
      </c>
      <c r="B15" s="10" t="inlineStr">
        <is>
          <t>B 网络设备</t>
        </is>
      </c>
      <c r="C15" s="11" t="inlineStr">
        <is>
          <t>交换机 SW1</t>
        </is>
      </c>
      <c r="D15" s="11" t="inlineStr">
        <is>
          <t>8 口千兆非网管（运维本/大屏/打印机）</t>
        </is>
      </c>
      <c r="E15" s="12" t="n">
        <v>1</v>
      </c>
      <c r="F15" s="10" t="inlineStr">
        <is>
          <t>台</t>
        </is>
      </c>
      <c r="G15" s="13" t="n">
        <v>100</v>
      </c>
      <c r="H15" s="13" t="n">
        <v>180</v>
      </c>
      <c r="I15" s="12">
        <f>E15*G15</f>
        <v/>
      </c>
      <c r="J15" s="12">
        <f>E15*H15</f>
        <v/>
      </c>
      <c r="K15" s="12">
        <f>IF($M15="是",0,I15)</f>
        <v/>
      </c>
      <c r="L15" s="12">
        <f>IF($M15="是",0,J15)</f>
        <v/>
      </c>
      <c r="M15" s="10" t="inlineStr">
        <is>
          <t>否</t>
        </is>
      </c>
      <c r="N15" s="11" t="inlineStr"/>
    </row>
    <row r="16">
      <c r="A16" s="10" t="inlineStr">
        <is>
          <t>B6</t>
        </is>
      </c>
      <c r="B16" s="10" t="inlineStr">
        <is>
          <t>B 网络设备</t>
        </is>
      </c>
      <c r="C16" s="11" t="inlineStr">
        <is>
          <t>PoE 交换机 SW2</t>
        </is>
      </c>
      <c r="D16" s="11" t="inlineStr">
        <is>
          <t>8 口千兆 PoE（AP 供电）</t>
        </is>
      </c>
      <c r="E16" s="12" t="n">
        <v>1</v>
      </c>
      <c r="F16" s="10" t="inlineStr">
        <is>
          <t>台</t>
        </is>
      </c>
      <c r="G16" s="13" t="n">
        <v>300</v>
      </c>
      <c r="H16" s="13" t="n">
        <v>500</v>
      </c>
      <c r="I16" s="12">
        <f>E16*G16</f>
        <v/>
      </c>
      <c r="J16" s="12">
        <f>E16*H16</f>
        <v/>
      </c>
      <c r="K16" s="12">
        <f>IF($M16="是",0,I16)</f>
        <v/>
      </c>
      <c r="L16" s="12">
        <f>IF($M16="是",0,J16)</f>
        <v/>
      </c>
      <c r="M16" s="10" t="inlineStr">
        <is>
          <t>否</t>
        </is>
      </c>
      <c r="N16" s="11" t="inlineStr">
        <is>
          <t>或 PoE 注入器 ×3 可省约 200</t>
        </is>
      </c>
    </row>
    <row r="17">
      <c r="A17" s="10" t="inlineStr">
        <is>
          <t>B7</t>
        </is>
      </c>
      <c r="B17" s="10" t="inlineStr">
        <is>
          <t>B 网络设备</t>
        </is>
      </c>
      <c r="C17" s="11" t="inlineStr">
        <is>
          <t>Wi-Fi 6 AP</t>
        </is>
      </c>
      <c r="D17" s="11" t="inlineStr">
        <is>
          <t>双频 AX3000 级，多 SSID（入口/队伍、提货/纪念、浏览/机动）</t>
        </is>
      </c>
      <c r="E17" s="12" t="n">
        <v>3</v>
      </c>
      <c r="F17" s="10" t="inlineStr">
        <is>
          <t>台</t>
        </is>
      </c>
      <c r="G17" s="13" t="n">
        <v>250</v>
      </c>
      <c r="H17" s="13" t="n">
        <v>450</v>
      </c>
      <c r="I17" s="12">
        <f>E17*G17</f>
        <v/>
      </c>
      <c r="J17" s="12">
        <f>E17*H17</f>
        <v/>
      </c>
      <c r="K17" s="12">
        <f>IF($M17="是",0,I17)</f>
        <v/>
      </c>
      <c r="L17" s="12">
        <f>IF($M17="是",0,J17)</f>
        <v/>
      </c>
      <c r="M17" s="10" t="inlineStr">
        <is>
          <t>否</t>
        </is>
      </c>
      <c r="N17" s="11" t="inlineStr">
        <is>
          <t>单 AP 建议 ≤80 终端</t>
        </is>
      </c>
    </row>
    <row r="18">
      <c r="A18" s="10" t="inlineStr">
        <is>
          <t>B8</t>
        </is>
      </c>
      <c r="B18" s="10" t="inlineStr">
        <is>
          <t>B 网络设备</t>
        </is>
      </c>
      <c r="C18" s="11" t="inlineStr">
        <is>
          <t>网线与配件</t>
        </is>
      </c>
      <c r="D18" s="11" t="inlineStr">
        <is>
          <t>Cat6 成品线 1m/3m/10m 合计 12 根 + 水晶头工具包（含备线 4 根）</t>
        </is>
      </c>
      <c r="E18" s="12" t="n">
        <v>1</v>
      </c>
      <c r="F18" s="10" t="inlineStr">
        <is>
          <t>套</t>
        </is>
      </c>
      <c r="G18" s="13" t="n">
        <v>120</v>
      </c>
      <c r="H18" s="13" t="n">
        <v>200</v>
      </c>
      <c r="I18" s="12">
        <f>E18*G18</f>
        <v/>
      </c>
      <c r="J18" s="12">
        <f>E18*H18</f>
        <v/>
      </c>
      <c r="K18" s="12">
        <f>IF($M18="是",0,I18)</f>
        <v/>
      </c>
      <c r="L18" s="12">
        <f>IF($M18="是",0,J18)</f>
        <v/>
      </c>
      <c r="M18" s="10" t="inlineStr">
        <is>
          <t>否</t>
        </is>
      </c>
      <c r="N18" s="11" t="inlineStr">
        <is>
          <t>★</t>
        </is>
      </c>
    </row>
    <row r="19">
      <c r="A19" s="10" t="inlineStr">
        <is>
          <t>B9</t>
        </is>
      </c>
      <c r="B19" s="10" t="inlineStr">
        <is>
          <t>B 网络设备</t>
        </is>
      </c>
      <c r="C19" s="11" t="inlineStr">
        <is>
          <t>测线仪/寻线器</t>
        </is>
      </c>
      <c r="D19" s="11" t="inlineStr">
        <is>
          <t>简易网络测线仪</t>
        </is>
      </c>
      <c r="E19" s="12" t="n">
        <v>1</v>
      </c>
      <c r="F19" s="10" t="inlineStr">
        <is>
          <t>个</t>
        </is>
      </c>
      <c r="G19" s="13" t="n">
        <v>30</v>
      </c>
      <c r="H19" s="13" t="n">
        <v>80</v>
      </c>
      <c r="I19" s="12">
        <f>E19*G19</f>
        <v/>
      </c>
      <c r="J19" s="12">
        <f>E19*H19</f>
        <v/>
      </c>
      <c r="K19" s="12">
        <f>IF($M19="是",0,I19)</f>
        <v/>
      </c>
      <c r="L19" s="12">
        <f>IF($M19="是",0,J19)</f>
        <v/>
      </c>
      <c r="M19" s="10" t="inlineStr">
        <is>
          <t>否</t>
        </is>
      </c>
      <c r="N19" s="11" t="inlineStr"/>
    </row>
    <row r="20">
      <c r="A20" s="14" t="inlineStr">
        <is>
          <t>C1</t>
        </is>
      </c>
      <c r="B20" s="14" t="inlineStr">
        <is>
          <t>C 员工终端与外设</t>
        </is>
      </c>
      <c r="C20" s="15" t="inlineStr">
        <is>
          <t>员工手机</t>
        </is>
      </c>
      <c r="D20" s="15" t="inlineStr">
        <is>
          <t>安卓 ≥8.0、支持 BLE（个人机征用优先），分配见部署手册</t>
        </is>
      </c>
      <c r="E20" s="16" t="n">
        <v>10</v>
      </c>
      <c r="F20" s="14" t="inlineStr">
        <is>
          <t>台</t>
        </is>
      </c>
      <c r="G20" s="17" t="n">
        <v>600</v>
      </c>
      <c r="H20" s="17" t="n">
        <v>1200</v>
      </c>
      <c r="I20" s="16">
        <f>E20*G20</f>
        <v/>
      </c>
      <c r="J20" s="16">
        <f>E20*H20</f>
        <v/>
      </c>
      <c r="K20" s="16">
        <f>IF($M20="是",0,I20)</f>
        <v/>
      </c>
      <c r="L20" s="16">
        <f>IF($M20="是",0,J20)</f>
        <v/>
      </c>
      <c r="M20" s="14" t="inlineStr">
        <is>
          <t>是</t>
        </is>
      </c>
      <c r="N20" s="15" t="inlineStr">
        <is>
          <t>入口2/队列3/配货2/提货2/纪念1</t>
        </is>
      </c>
    </row>
    <row r="21">
      <c r="A21" s="14" t="inlineStr">
        <is>
          <t>C2</t>
        </is>
      </c>
      <c r="B21" s="14" t="inlineStr">
        <is>
          <t>C 员工终端与外设</t>
        </is>
      </c>
      <c r="C21" s="15" t="inlineStr">
        <is>
          <t>管理平板</t>
        </is>
      </c>
      <c r="D21" s="15" t="inlineStr">
        <is>
          <t>安卓平板 ≥10 英寸（ADMIN 大屏+走动指挥）</t>
        </is>
      </c>
      <c r="E21" s="16" t="n">
        <v>1</v>
      </c>
      <c r="F21" s="14" t="inlineStr">
        <is>
          <t>台</t>
        </is>
      </c>
      <c r="G21" s="17" t="n">
        <v>900</v>
      </c>
      <c r="H21" s="17" t="n">
        <v>1500</v>
      </c>
      <c r="I21" s="16">
        <f>E21*G21</f>
        <v/>
      </c>
      <c r="J21" s="16">
        <f>E21*H21</f>
        <v/>
      </c>
      <c r="K21" s="16">
        <f>IF($M21="是",0,I21)</f>
        <v/>
      </c>
      <c r="L21" s="16">
        <f>IF($M21="是",0,J21)</f>
        <v/>
      </c>
      <c r="M21" s="14" t="inlineStr">
        <is>
          <t>是</t>
        </is>
      </c>
      <c r="N21" s="15" t="inlineStr"/>
    </row>
    <row r="22">
      <c r="A22" s="14" t="inlineStr">
        <is>
          <t>C3</t>
        </is>
      </c>
      <c r="B22" s="14" t="inlineStr">
        <is>
          <t>C 员工终端与外设</t>
        </is>
      </c>
      <c r="C22" s="15" t="inlineStr">
        <is>
          <t>热敏小票打印机</t>
        </is>
      </c>
      <c r="D22" s="15" t="inlineStr">
        <is>
          <t>58mm 蓝牙（佳博/芯烨类），ESC/POS；配货区×2+提货区热备×1</t>
        </is>
      </c>
      <c r="E22" s="16" t="n">
        <v>3</v>
      </c>
      <c r="F22" s="14" t="inlineStr">
        <is>
          <t>台</t>
        </is>
      </c>
      <c r="G22" s="17" t="n">
        <v>180</v>
      </c>
      <c r="H22" s="17" t="n">
        <v>320</v>
      </c>
      <c r="I22" s="16">
        <f>E22*G22</f>
        <v/>
      </c>
      <c r="J22" s="16">
        <f>E22*H22</f>
        <v/>
      </c>
      <c r="K22" s="16">
        <f>IF($M22="是",0,I22)</f>
        <v/>
      </c>
      <c r="L22" s="16">
        <f>IF($M22="是",0,J22)</f>
        <v/>
      </c>
      <c r="M22" s="14" t="inlineStr">
        <is>
          <t>否</t>
        </is>
      </c>
      <c r="N22" s="15" t="inlineStr">
        <is>
          <t>★ 最高频故障点</t>
        </is>
      </c>
    </row>
    <row r="23">
      <c r="A23" s="14" t="inlineStr">
        <is>
          <t>C4</t>
        </is>
      </c>
      <c r="B23" s="14" t="inlineStr">
        <is>
          <t>C 员工终端与外设</t>
        </is>
      </c>
      <c r="C23" s="15" t="inlineStr">
        <is>
          <t>热敏纸卷</t>
        </is>
      </c>
      <c r="D23" s="15" t="inlineStr">
        <is>
          <t>57×30mm（约 250 张/卷）；按峰值 3000 单×2 联冗余</t>
        </is>
      </c>
      <c r="E23" s="16" t="n">
        <v>60</v>
      </c>
      <c r="F23" s="14" t="inlineStr">
        <is>
          <t>卷</t>
        </is>
      </c>
      <c r="G23" s="17" t="n">
        <v>1.5</v>
      </c>
      <c r="H23" s="17" t="n">
        <v>2.5</v>
      </c>
      <c r="I23" s="16">
        <f>E23*G23</f>
        <v/>
      </c>
      <c r="J23" s="16">
        <f>E23*H23</f>
        <v/>
      </c>
      <c r="K23" s="16">
        <f>IF($M23="是",0,I23)</f>
        <v/>
      </c>
      <c r="L23" s="16">
        <f>IF($M23="是",0,J23)</f>
        <v/>
      </c>
      <c r="M23" s="14" t="inlineStr">
        <is>
          <t>否</t>
        </is>
      </c>
      <c r="N23" s="15" t="inlineStr">
        <is>
          <t>★</t>
        </is>
      </c>
    </row>
    <row r="24">
      <c r="A24" s="14" t="inlineStr">
        <is>
          <t>C5</t>
        </is>
      </c>
      <c r="B24" s="14" t="inlineStr">
        <is>
          <t>C 员工终端与外设</t>
        </is>
      </c>
      <c r="C24" s="15" t="inlineStr">
        <is>
          <t>打印机电源/线材</t>
        </is>
      </c>
      <c r="D24" s="15" t="inlineStr">
        <is>
          <t>原配 DC 线 + USB 兜底线</t>
        </is>
      </c>
      <c r="E24" s="16" t="n">
        <v>3</v>
      </c>
      <c r="F24" s="14" t="inlineStr">
        <is>
          <t>套</t>
        </is>
      </c>
      <c r="G24" s="17" t="n">
        <v>0</v>
      </c>
      <c r="H24" s="17" t="n">
        <v>0</v>
      </c>
      <c r="I24" s="16">
        <f>E24*G24</f>
        <v/>
      </c>
      <c r="J24" s="16">
        <f>E24*H24</f>
        <v/>
      </c>
      <c r="K24" s="16">
        <f>IF($M24="是",0,I24)</f>
        <v/>
      </c>
      <c r="L24" s="16">
        <f>IF($M24="是",0,J24)</f>
        <v/>
      </c>
      <c r="M24" s="14" t="inlineStr">
        <is>
          <t>否</t>
        </is>
      </c>
      <c r="N24" s="15" t="inlineStr">
        <is>
          <t>随机附带</t>
        </is>
      </c>
    </row>
    <row r="25">
      <c r="A25" s="18" t="inlineStr">
        <is>
          <t>D1</t>
        </is>
      </c>
      <c r="B25" s="18" t="inlineStr">
        <is>
          <t>D 电源与续航</t>
        </is>
      </c>
      <c r="C25" s="19" t="inlineStr">
        <is>
          <t>小型 UPS（可选）</t>
        </is>
      </c>
      <c r="D25" s="19" t="inlineStr">
        <is>
          <t>现场网络设备（AP/交换机/CPE）断电续航 ≥30min</t>
        </is>
      </c>
      <c r="E25" s="20" t="n">
        <v>1</v>
      </c>
      <c r="F25" s="18" t="inlineStr">
        <is>
          <t>台</t>
        </is>
      </c>
      <c r="G25" s="21" t="n">
        <v>200</v>
      </c>
      <c r="H25" s="21" t="n">
        <v>350</v>
      </c>
      <c r="I25" s="20">
        <f>E25*G25</f>
        <v/>
      </c>
      <c r="J25" s="20">
        <f>E25*H25</f>
        <v/>
      </c>
      <c r="K25" s="20">
        <f>IF($M25="是",0,I25)</f>
        <v/>
      </c>
      <c r="L25" s="20">
        <f>IF($M25="是",0,J25)</f>
        <v/>
      </c>
      <c r="M25" s="18" t="inlineStr">
        <is>
          <t>否</t>
        </is>
      </c>
      <c r="N25" s="19" t="inlineStr">
        <is>
          <t>服务器在云端，无需大 UPS</t>
        </is>
      </c>
    </row>
    <row r="26">
      <c r="A26" s="18" t="inlineStr">
        <is>
          <t>D2</t>
        </is>
      </c>
      <c r="B26" s="18" t="inlineStr">
        <is>
          <t>D 电源与续航</t>
        </is>
      </c>
      <c r="C26" s="19" t="inlineStr">
        <is>
          <t>大功率充电宝</t>
        </is>
      </c>
      <c r="D26" s="19" t="inlineStr">
        <is>
          <t>20,000mAh PD 30W+，员工终端全岗位覆盖</t>
        </is>
      </c>
      <c r="E26" s="20" t="n">
        <v>6</v>
      </c>
      <c r="F26" s="18" t="inlineStr">
        <is>
          <t>个</t>
        </is>
      </c>
      <c r="G26" s="21" t="n">
        <v>100</v>
      </c>
      <c r="H26" s="21" t="n">
        <v>180</v>
      </c>
      <c r="I26" s="20">
        <f>E26*G26</f>
        <v/>
      </c>
      <c r="J26" s="20">
        <f>E26*H26</f>
        <v/>
      </c>
      <c r="K26" s="20">
        <f>IF($M26="是",0,I26)</f>
        <v/>
      </c>
      <c r="L26" s="20">
        <f>IF($M26="是",0,J26)</f>
        <v/>
      </c>
      <c r="M26" s="18" t="inlineStr">
        <is>
          <t>否</t>
        </is>
      </c>
      <c r="N26" s="19" t="inlineStr">
        <is>
          <t>★</t>
        </is>
      </c>
    </row>
    <row r="27">
      <c r="A27" s="18" t="inlineStr">
        <is>
          <t>D3</t>
        </is>
      </c>
      <c r="B27" s="18" t="inlineStr">
        <is>
          <t>D 电源与续航</t>
        </is>
      </c>
      <c r="C27" s="19" t="inlineStr">
        <is>
          <t>多口充电器</t>
        </is>
      </c>
      <c r="D27" s="19" t="inlineStr">
        <is>
          <t>65W GaN 3 口，指挥台集中补电</t>
        </is>
      </c>
      <c r="E27" s="20" t="n">
        <v>4</v>
      </c>
      <c r="F27" s="18" t="inlineStr">
        <is>
          <t>个</t>
        </is>
      </c>
      <c r="G27" s="21" t="n">
        <v>80</v>
      </c>
      <c r="H27" s="21" t="n">
        <v>140</v>
      </c>
      <c r="I27" s="20">
        <f>E27*G27</f>
        <v/>
      </c>
      <c r="J27" s="20">
        <f>E27*H27</f>
        <v/>
      </c>
      <c r="K27" s="20">
        <f>IF($M27="是",0,I27)</f>
        <v/>
      </c>
      <c r="L27" s="20">
        <f>IF($M27="是",0,J27)</f>
        <v/>
      </c>
      <c r="M27" s="18" t="inlineStr">
        <is>
          <t>否</t>
        </is>
      </c>
      <c r="N27" s="19" t="inlineStr"/>
    </row>
    <row r="28">
      <c r="A28" s="18" t="inlineStr">
        <is>
          <t>D4</t>
        </is>
      </c>
      <c r="B28" s="18" t="inlineStr">
        <is>
          <t>D 电源与续航</t>
        </is>
      </c>
      <c r="C28" s="19" t="inlineStr">
        <is>
          <t>插线板</t>
        </is>
      </c>
      <c r="D28" s="19" t="inlineStr">
        <is>
          <t>6 位 ×1.8m 安全长款，各工位</t>
        </is>
      </c>
      <c r="E28" s="20" t="n">
        <v>6</v>
      </c>
      <c r="F28" s="18" t="inlineStr">
        <is>
          <t>个</t>
        </is>
      </c>
      <c r="G28" s="21" t="n">
        <v>30</v>
      </c>
      <c r="H28" s="21" t="n">
        <v>60</v>
      </c>
      <c r="I28" s="20">
        <f>E28*G28</f>
        <v/>
      </c>
      <c r="J28" s="20">
        <f>E28*H28</f>
        <v/>
      </c>
      <c r="K28" s="20">
        <f>IF($M28="是",0,I28)</f>
        <v/>
      </c>
      <c r="L28" s="20">
        <f>IF($M28="是",0,J28)</f>
        <v/>
      </c>
      <c r="M28" s="18" t="inlineStr">
        <is>
          <t>否</t>
        </is>
      </c>
      <c r="N28" s="19" t="inlineStr"/>
    </row>
    <row r="29">
      <c r="A29" s="18" t="inlineStr">
        <is>
          <t>D5</t>
        </is>
      </c>
      <c r="B29" s="18" t="inlineStr">
        <is>
          <t>D 电源与续航</t>
        </is>
      </c>
      <c r="C29" s="19" t="inlineStr">
        <is>
          <t>手机备用数据线</t>
        </is>
      </c>
      <c r="D29" s="19" t="inlineStr">
        <is>
          <t>USB-C/Lightning 混装（易耗必损件）</t>
        </is>
      </c>
      <c r="E29" s="20" t="n">
        <v>10</v>
      </c>
      <c r="F29" s="18" t="inlineStr">
        <is>
          <t>根</t>
        </is>
      </c>
      <c r="G29" s="21" t="n">
        <v>10</v>
      </c>
      <c r="H29" s="21" t="n">
        <v>25</v>
      </c>
      <c r="I29" s="20">
        <f>E29*G29</f>
        <v/>
      </c>
      <c r="J29" s="20">
        <f>E29*H29</f>
        <v/>
      </c>
      <c r="K29" s="20">
        <f>IF($M29="是",0,I29)</f>
        <v/>
      </c>
      <c r="L29" s="20">
        <f>IF($M29="是",0,J29)</f>
        <v/>
      </c>
      <c r="M29" s="18" t="inlineStr">
        <is>
          <t>否</t>
        </is>
      </c>
      <c r="N29" s="19" t="inlineStr">
        <is>
          <t>★</t>
        </is>
      </c>
    </row>
    <row r="30">
      <c r="A30" s="22" t="inlineStr">
        <is>
          <t>E1</t>
        </is>
      </c>
      <c r="B30" s="22" t="inlineStr">
        <is>
          <t>E 通信与现场物料</t>
        </is>
      </c>
      <c r="C30" s="23" t="inlineStr">
        <is>
          <t>对讲机</t>
        </is>
      </c>
      <c r="D30" s="23" t="inlineStr">
        <is>
          <t>民用 409MHz 免执照（网络降级时的沟通保障）</t>
        </is>
      </c>
      <c r="E30" s="24" t="n">
        <v>6</v>
      </c>
      <c r="F30" s="22" t="inlineStr">
        <is>
          <t>台</t>
        </is>
      </c>
      <c r="G30" s="25" t="n">
        <v>60</v>
      </c>
      <c r="H30" s="25" t="n">
        <v>120</v>
      </c>
      <c r="I30" s="24">
        <f>E30*G30</f>
        <v/>
      </c>
      <c r="J30" s="24">
        <f>E30*H30</f>
        <v/>
      </c>
      <c r="K30" s="24">
        <f>IF($M30="是",0,I30)</f>
        <v/>
      </c>
      <c r="L30" s="24">
        <f>IF($M30="是",0,J30)</f>
        <v/>
      </c>
      <c r="M30" s="22" t="inlineStr">
        <is>
          <t>否</t>
        </is>
      </c>
      <c r="N30" s="23" t="inlineStr"/>
    </row>
    <row r="31">
      <c r="A31" s="22" t="inlineStr">
        <is>
          <t>E2</t>
        </is>
      </c>
      <c r="B31" s="22" t="inlineStr">
        <is>
          <t>E 通信与现场物料</t>
        </is>
      </c>
      <c r="C31" s="23" t="inlineStr">
        <is>
          <t>指引物料</t>
        </is>
      </c>
      <c r="D31" s="23" t="inlineStr">
        <is>
          <t>入口二维码立牌、流程指引海报 ×6、隐私公示牌（含数据30天销毁声明）</t>
        </is>
      </c>
      <c r="E31" s="24" t="n">
        <v>1</v>
      </c>
      <c r="F31" s="22" t="inlineStr">
        <is>
          <t>套</t>
        </is>
      </c>
      <c r="G31" s="25" t="n">
        <v>200</v>
      </c>
      <c r="H31" s="25" t="n">
        <v>400</v>
      </c>
      <c r="I31" s="24">
        <f>E31*G31</f>
        <v/>
      </c>
      <c r="J31" s="24">
        <f>E31*H31</f>
        <v/>
      </c>
      <c r="K31" s="24">
        <f>IF($M31="是",0,I31)</f>
        <v/>
      </c>
      <c r="L31" s="24">
        <f>IF($M31="是",0,J31)</f>
        <v/>
      </c>
      <c r="M31" s="22" t="inlineStr">
        <is>
          <t>否</t>
        </is>
      </c>
      <c r="N31" s="23" t="inlineStr"/>
    </row>
    <row r="32">
      <c r="A32" s="22" t="inlineStr">
        <is>
          <t>E3</t>
        </is>
      </c>
      <c r="B32" s="22" t="inlineStr">
        <is>
          <t>E 通信与现场物料</t>
        </is>
      </c>
      <c r="C32" s="23" t="inlineStr">
        <is>
          <t>桌牌/工牌</t>
        </is>
      </c>
      <c r="D32" s="23" t="inlineStr">
        <is>
          <t>分区胸牌：ENTRY蓝/QUEUE绿/PICKUP橙/SOUVENIR紫/ADMIN红</t>
        </is>
      </c>
      <c r="E32" s="24" t="n">
        <v>12</v>
      </c>
      <c r="F32" s="22" t="inlineStr">
        <is>
          <t>个</t>
        </is>
      </c>
      <c r="G32" s="25" t="n">
        <v>5</v>
      </c>
      <c r="H32" s="25" t="n">
        <v>10</v>
      </c>
      <c r="I32" s="24">
        <f>E32*G32</f>
        <v/>
      </c>
      <c r="J32" s="24">
        <f>E32*H32</f>
        <v/>
      </c>
      <c r="K32" s="24">
        <f>IF($M32="是",0,I32)</f>
        <v/>
      </c>
      <c r="L32" s="24">
        <f>IF($M32="是",0,J32)</f>
        <v/>
      </c>
      <c r="M32" s="22" t="inlineStr">
        <is>
          <t>否</t>
        </is>
      </c>
      <c r="N32" s="23" t="inlineStr"/>
    </row>
    <row r="33">
      <c r="A33" s="22" t="inlineStr">
        <is>
          <t>E4</t>
        </is>
      </c>
      <c r="B33" s="22" t="inlineStr">
        <is>
          <t>E 通信与现场物料</t>
        </is>
      </c>
      <c r="C33" s="23" t="inlineStr">
        <is>
          <t>登记本+文具</t>
        </is>
      </c>
      <c r="D33" s="23" t="inlineStr">
        <is>
          <t>半离线应急登记本 ×3、笔、垫板（RB-04 兜底）</t>
        </is>
      </c>
      <c r="E33" s="24" t="n">
        <v>1</v>
      </c>
      <c r="F33" s="22" t="inlineStr">
        <is>
          <t>套</t>
        </is>
      </c>
      <c r="G33" s="25" t="n">
        <v>30</v>
      </c>
      <c r="H33" s="25" t="n">
        <v>60</v>
      </c>
      <c r="I33" s="24">
        <f>E33*G33</f>
        <v/>
      </c>
      <c r="J33" s="24">
        <f>E33*H33</f>
        <v/>
      </c>
      <c r="K33" s="24">
        <f>IF($M33="是",0,I33)</f>
        <v/>
      </c>
      <c r="L33" s="24">
        <f>IF($M33="是",0,J33)</f>
        <v/>
      </c>
      <c r="M33" s="22" t="inlineStr">
        <is>
          <t>否</t>
        </is>
      </c>
      <c r="N33" s="23" t="inlineStr"/>
    </row>
    <row r="34">
      <c r="A34" s="22" t="inlineStr">
        <is>
          <t>E5</t>
        </is>
      </c>
      <c r="B34" s="22" t="inlineStr">
        <is>
          <t>E 通信与现场物料</t>
        </is>
      </c>
      <c r="C34" s="23" t="inlineStr">
        <is>
          <t>警示带/围栏线</t>
        </is>
      </c>
      <c r="D34" s="23" t="inlineStr">
        <is>
          <t>排队动线管理</t>
        </is>
      </c>
      <c r="E34" s="24" t="n">
        <v>1</v>
      </c>
      <c r="F34" s="22" t="inlineStr">
        <is>
          <t>套</t>
        </is>
      </c>
      <c r="G34" s="25" t="n">
        <v>50</v>
      </c>
      <c r="H34" s="25" t="n">
        <v>100</v>
      </c>
      <c r="I34" s="24">
        <f>E34*G34</f>
        <v/>
      </c>
      <c r="J34" s="24">
        <f>E34*H34</f>
        <v/>
      </c>
      <c r="K34" s="24">
        <f>IF($M34="是",0,I34)</f>
        <v/>
      </c>
      <c r="L34" s="24">
        <f>IF($M34="是",0,J34)</f>
        <v/>
      </c>
      <c r="M34" s="22" t="inlineStr">
        <is>
          <t>否</t>
        </is>
      </c>
      <c r="N34" s="23" t="inlineStr"/>
    </row>
    <row r="35">
      <c r="A35" s="22" t="inlineStr">
        <is>
          <t>E6</t>
        </is>
      </c>
      <c r="B35" s="22" t="inlineStr">
        <is>
          <t>E 通信与现场物料</t>
        </is>
      </c>
      <c r="C35" s="23" t="inlineStr">
        <is>
          <t>工具包</t>
        </is>
      </c>
      <c r="D35" s="23" t="inlineStr">
        <is>
          <t>螺丝刀/扎带/绝缘胶带/备用水晶头</t>
        </is>
      </c>
      <c r="E35" s="24" t="n">
        <v>1</v>
      </c>
      <c r="F35" s="22" t="inlineStr">
        <is>
          <t>套</t>
        </is>
      </c>
      <c r="G35" s="25" t="n">
        <v>80</v>
      </c>
      <c r="H35" s="25" t="n">
        <v>150</v>
      </c>
      <c r="I35" s="24">
        <f>E35*G35</f>
        <v/>
      </c>
      <c r="J35" s="24">
        <f>E35*H35</f>
        <v/>
      </c>
      <c r="K35" s="24">
        <f>IF($M35="是",0,I35)</f>
        <v/>
      </c>
      <c r="L35" s="24">
        <f>IF($M35="是",0,J35)</f>
        <v/>
      </c>
      <c r="M35" s="22" t="inlineStr">
        <is>
          <t>否</t>
        </is>
      </c>
      <c r="N35" s="23" t="inlineStr"/>
    </row>
    <row r="36">
      <c r="A36" s="26" t="inlineStr">
        <is>
          <t>F1</t>
        </is>
      </c>
      <c r="B36" s="26" t="inlineStr">
        <is>
          <t>F 软件与账号</t>
        </is>
      </c>
      <c r="C36" s="27" t="inlineStr">
        <is>
          <t>微信小程序账号认证费</t>
        </is>
      </c>
      <c r="D36" s="27" t="inlineStr">
        <is>
          <t>学生组织可挂学校主体复用认证则为 0</t>
        </is>
      </c>
      <c r="E36" s="28" t="n">
        <v>1</v>
      </c>
      <c r="F36" s="26" t="inlineStr">
        <is>
          <t>项</t>
        </is>
      </c>
      <c r="G36" s="29" t="n">
        <v>0</v>
      </c>
      <c r="H36" s="29" t="n">
        <v>300</v>
      </c>
      <c r="I36" s="28">
        <f>E36*G36</f>
        <v/>
      </c>
      <c r="J36" s="28">
        <f>E36*H36</f>
        <v/>
      </c>
      <c r="K36" s="28">
        <f>IF($M36="是",0,I36)</f>
        <v/>
      </c>
      <c r="L36" s="28">
        <f>IF($M36="是",0,J36)</f>
        <v/>
      </c>
      <c r="M36" s="26" t="inlineStr">
        <is>
          <t>否</t>
        </is>
      </c>
      <c r="N36" s="27" t="inlineStr"/>
    </row>
    <row r="37">
      <c r="A37" s="26" t="inlineStr">
        <is>
          <t>F2</t>
        </is>
      </c>
      <c r="B37" s="26" t="inlineStr">
        <is>
          <t>F 软件与账号</t>
        </is>
      </c>
      <c r="C37" s="27" t="inlineStr">
        <is>
          <t>云上软件/证书</t>
        </is>
      </c>
      <c r="D37" s="27" t="inlineStr">
        <is>
          <t>全自研 Rust + 云免费证书（Debian 开源）</t>
        </is>
      </c>
      <c r="E37" s="28" t="n">
        <v>1</v>
      </c>
      <c r="F37" s="26" t="inlineStr">
        <is>
          <t>项</t>
        </is>
      </c>
      <c r="G37" s="29" t="n">
        <v>0</v>
      </c>
      <c r="H37" s="29" t="n">
        <v>0</v>
      </c>
      <c r="I37" s="28">
        <f>E37*G37</f>
        <v/>
      </c>
      <c r="J37" s="28">
        <f>E37*H37</f>
        <v/>
      </c>
      <c r="K37" s="28">
        <f>IF($M37="是",0,I37)</f>
        <v/>
      </c>
      <c r="L37" s="28">
        <f>IF($M37="是",0,J37)</f>
        <v/>
      </c>
      <c r="M37" s="26" t="inlineStr">
        <is>
          <t>否</t>
        </is>
      </c>
      <c r="N37" s="27" t="inlineStr">
        <is>
          <t>0 元</t>
        </is>
      </c>
    </row>
    <row r="38">
      <c r="A38" s="30" t="n"/>
      <c r="B38" s="30" t="n"/>
      <c r="C38" s="31" t="n"/>
      <c r="D38" s="31" t="inlineStr">
        <is>
          <t>合计（A–F 类）</t>
        </is>
      </c>
      <c r="E38" s="32" t="n"/>
      <c r="F38" s="30" t="n"/>
      <c r="G38" s="33" t="n"/>
      <c r="H38" s="33" t="n"/>
      <c r="I38" s="32">
        <f>SUM(I2:I37)</f>
        <v/>
      </c>
      <c r="J38" s="32">
        <f>SUM(J2:J37)</f>
        <v/>
      </c>
      <c r="K38" s="32">
        <f>SUM(K2:K37)</f>
        <v/>
      </c>
      <c r="L38" s="32">
        <f>SUM(L2:L37)</f>
        <v/>
      </c>
      <c r="M38" s="30" t="n"/>
      <c r="N38" s="31" t="n"/>
    </row>
  </sheetData>
  <autoFilter ref="A1:N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4" t="inlineStr">
        <is>
          <t>山海企划 · 预算汇总（币种 CNY）</t>
        </is>
      </c>
    </row>
    <row r="3">
      <c r="A3" s="5" t="inlineStr">
        <is>
          <t>类别</t>
        </is>
      </c>
      <c r="B3" s="5" t="inlineStr">
        <is>
          <t>全新采购·低</t>
        </is>
      </c>
      <c r="C3" s="5" t="inlineStr">
        <is>
          <t>全新采购·高</t>
        </is>
      </c>
      <c r="D3" s="5" t="inlineStr">
        <is>
          <t>征借优先·低</t>
        </is>
      </c>
      <c r="E3" s="5" t="inlineStr">
        <is>
          <t>征借优先·高</t>
        </is>
      </c>
    </row>
    <row r="4">
      <c r="A4" s="35" t="inlineStr">
        <is>
          <t>A 云资源与计算</t>
        </is>
      </c>
      <c r="B4" s="36">
        <f>SUMIF('BOM明细'!$B:$B,$A4,'BOM明细'!I:I)</f>
        <v/>
      </c>
      <c r="C4" s="36">
        <f>SUMIF('BOM明细'!$B:$B,$A4,'BOM明细'!J:J)</f>
        <v/>
      </c>
      <c r="D4" s="36">
        <f>SUMIF('BOM明细'!$B:$B,$A4,'BOM明细'!K:K)</f>
        <v/>
      </c>
      <c r="E4" s="36">
        <f>SUMIF('BOM明细'!$B:$B,$A4,'BOM明细'!L:L)</f>
        <v/>
      </c>
    </row>
    <row r="5">
      <c r="A5" s="35" t="inlineStr">
        <is>
          <t>B 网络设备</t>
        </is>
      </c>
      <c r="B5" s="36">
        <f>SUMIF('BOM明细'!$B:$B,$A5,'BOM明细'!I:I)</f>
        <v/>
      </c>
      <c r="C5" s="36">
        <f>SUMIF('BOM明细'!$B:$B,$A5,'BOM明细'!J:J)</f>
        <v/>
      </c>
      <c r="D5" s="36">
        <f>SUMIF('BOM明细'!$B:$B,$A5,'BOM明细'!K:K)</f>
        <v/>
      </c>
      <c r="E5" s="36">
        <f>SUMIF('BOM明细'!$B:$B,$A5,'BOM明细'!L:L)</f>
        <v/>
      </c>
    </row>
    <row r="6">
      <c r="A6" s="35" t="inlineStr">
        <is>
          <t>C 员工终端与外设</t>
        </is>
      </c>
      <c r="B6" s="36">
        <f>SUMIF('BOM明细'!$B:$B,$A6,'BOM明细'!I:I)</f>
        <v/>
      </c>
      <c r="C6" s="36">
        <f>SUMIF('BOM明细'!$B:$B,$A6,'BOM明细'!J:J)</f>
        <v/>
      </c>
      <c r="D6" s="36">
        <f>SUMIF('BOM明细'!$B:$B,$A6,'BOM明细'!K:K)</f>
        <v/>
      </c>
      <c r="E6" s="36">
        <f>SUMIF('BOM明细'!$B:$B,$A6,'BOM明细'!L:L)</f>
        <v/>
      </c>
    </row>
    <row r="7">
      <c r="A7" s="35" t="inlineStr">
        <is>
          <t>D 电源与续航</t>
        </is>
      </c>
      <c r="B7" s="36">
        <f>SUMIF('BOM明细'!$B:$B,$A7,'BOM明细'!I:I)</f>
        <v/>
      </c>
      <c r="C7" s="36">
        <f>SUMIF('BOM明细'!$B:$B,$A7,'BOM明细'!J:J)</f>
        <v/>
      </c>
      <c r="D7" s="36">
        <f>SUMIF('BOM明细'!$B:$B,$A7,'BOM明细'!K:K)</f>
        <v/>
      </c>
      <c r="E7" s="36">
        <f>SUMIF('BOM明细'!$B:$B,$A7,'BOM明细'!L:L)</f>
        <v/>
      </c>
    </row>
    <row r="8">
      <c r="A8" s="35" t="inlineStr">
        <is>
          <t>E 通信与现场物料</t>
        </is>
      </c>
      <c r="B8" s="36">
        <f>SUMIF('BOM明细'!$B:$B,$A8,'BOM明细'!I:I)</f>
        <v/>
      </c>
      <c r="C8" s="36">
        <f>SUMIF('BOM明细'!$B:$B,$A8,'BOM明细'!J:J)</f>
        <v/>
      </c>
      <c r="D8" s="36">
        <f>SUMIF('BOM明细'!$B:$B,$A8,'BOM明细'!K:K)</f>
        <v/>
      </c>
      <c r="E8" s="36">
        <f>SUMIF('BOM明细'!$B:$B,$A8,'BOM明细'!L:L)</f>
        <v/>
      </c>
    </row>
    <row r="9">
      <c r="A9" s="35" t="inlineStr">
        <is>
          <t>F 软件与账号</t>
        </is>
      </c>
      <c r="B9" s="36">
        <f>SUMIF('BOM明细'!$B:$B,$A9,'BOM明细'!I:I)</f>
        <v/>
      </c>
      <c r="C9" s="36">
        <f>SUMIF('BOM明细'!$B:$B,$A9,'BOM明细'!J:J)</f>
        <v/>
      </c>
      <c r="D9" s="36">
        <f>SUMIF('BOM明细'!$B:$B,$A9,'BOM明细'!K:K)</f>
        <v/>
      </c>
      <c r="E9" s="36">
        <f>SUMIF('BOM明细'!$B:$B,$A9,'BOM明细'!L:L)</f>
        <v/>
      </c>
    </row>
    <row r="10">
      <c r="A10" s="37" t="inlineStr">
        <is>
          <t>小计（不含 G 纪念品）</t>
        </is>
      </c>
      <c r="B10" s="32">
        <f>SUM(B4:B9)</f>
        <v/>
      </c>
      <c r="C10" s="32">
        <f>SUM(C4:C9)</f>
        <v/>
      </c>
      <c r="D10" s="32">
        <f>SUM(D4:D9)</f>
        <v/>
      </c>
      <c r="E10" s="32">
        <f>SUM(E4:E9)</f>
        <v/>
      </c>
    </row>
    <row r="11">
      <c r="A11" s="35" t="inlineStr">
        <is>
          <t>备用金率（可修改）</t>
        </is>
      </c>
      <c r="B11" s="38" t="n">
        <v>0.1</v>
      </c>
      <c r="C11" s="36" t="n"/>
      <c r="D11" s="36" t="n"/>
      <c r="E11" s="36" t="n"/>
    </row>
    <row r="12">
      <c r="A12" s="35" t="inlineStr">
        <is>
          <t>备用金</t>
        </is>
      </c>
      <c r="B12" s="36">
        <f>ROUND(B10*$B$11,0)</f>
        <v/>
      </c>
      <c r="C12" s="36">
        <f>ROUND(C10*$B$11,0)</f>
        <v/>
      </c>
      <c r="D12" s="36">
        <f>ROUND(D10*$B$11,0)</f>
        <v/>
      </c>
      <c r="E12" s="36">
        <f>ROUND(E10*$B$11,0)</f>
        <v/>
      </c>
    </row>
    <row r="13">
      <c r="A13" s="37" t="inlineStr">
        <is>
          <t>系统侧合计</t>
        </is>
      </c>
      <c r="B13" s="32">
        <f>B10+B12</f>
        <v/>
      </c>
      <c r="C13" s="32">
        <f>C10+C12</f>
        <v/>
      </c>
      <c r="D13" s="32">
        <f>D10+D12</f>
        <v/>
      </c>
      <c r="E13" s="32">
        <f>E10+E12</f>
        <v/>
      </c>
    </row>
    <row r="15">
      <c r="A15" s="39" t="inlineStr">
        <is>
          <t>注：G 类纪念品（约 3,000 份 × 2–5 元 = 6,000–15,000 元）由业务口另行立项，不计入上表。</t>
        </is>
      </c>
    </row>
    <row r="16">
      <c r="A16" s="39" t="inlineStr">
        <is>
          <t>征借优先档：A/B/C 类中「征借优先=是」的物料按 0 计提（BOM明细 K/L 列公式自动处理）。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  <col width="6" customWidth="1" min="4" max="4"/>
  </cols>
  <sheetData>
    <row r="1">
      <c r="A1" s="5" t="inlineStr">
        <is>
          <t>项目</t>
        </is>
      </c>
      <c r="B1" s="5" t="inlineStr">
        <is>
          <t>前端聚合机（F1+F2）</t>
        </is>
      </c>
      <c r="C1" s="5" t="inlineStr">
        <is>
          <t>BE 账本机</t>
        </is>
      </c>
      <c r="D1" s="5" t="inlineStr">
        <is>
          <t>—</t>
        </is>
      </c>
    </row>
    <row r="2">
      <c r="A2" s="40" t="inlineStr">
        <is>
          <t>主机名 / 域名</t>
        </is>
      </c>
      <c r="B2" s="40" t="inlineStr">
        <is>
          <t>edge / edge.&lt;备案域名&gt;（static 回源同机）</t>
        </is>
      </c>
      <c r="C2" s="40" t="inlineStr">
        <is>
          <t>be / be.&lt;备案域名&gt;</t>
        </is>
      </c>
      <c r="D2" s="40" t="inlineStr">
        <is>
          <t>—</t>
        </is>
      </c>
    </row>
    <row r="3">
      <c r="A3" s="40" t="inlineStr">
        <is>
          <t>云规格</t>
        </is>
      </c>
      <c r="B3" s="40" t="inlineStr">
        <is>
          <t>华为云 ECS 16C32G，盘 500G，EIP 带宽峰值 500M（按流量计费）</t>
        </is>
      </c>
      <c r="C3" s="40" t="inlineStr">
        <is>
          <t>华为云 ECS 2C4G，数据盘 40G</t>
        </is>
      </c>
      <c r="D3" s="40" t="inlineStr">
        <is>
          <t>—</t>
        </is>
      </c>
    </row>
    <row r="4">
      <c r="A4" s="40" t="inlineStr">
        <is>
          <t>操作系统</t>
        </is>
      </c>
      <c r="B4" s="40" t="inlineStr">
        <is>
          <t>Debian 12 / Ubuntu 22.04 + systemd</t>
        </is>
      </c>
      <c r="C4" s="40" t="inlineStr">
        <is>
          <t>同左</t>
        </is>
      </c>
      <c r="D4" s="40" t="inlineStr">
        <is>
          <t>—</t>
        </is>
      </c>
    </row>
    <row r="5">
      <c r="A5" s="40" t="inlineStr">
        <is>
          <t>进程</t>
        </is>
      </c>
      <c r="B5" s="40" t="inlineStr">
        <is>
          <t>Nginx/Caddy 网关(SNI: api/static) + shs-catalog + shs-trade 双进程</t>
        </is>
      </c>
      <c r="C5" s="40" t="inlineStr">
        <is>
          <t>shs-core（单二进制）</t>
        </is>
      </c>
      <c r="D5" s="40" t="inlineStr">
        <is>
          <t>—</t>
        </is>
      </c>
    </row>
    <row r="6">
      <c r="A6" s="40" t="inlineStr">
        <is>
          <t>监听</t>
        </is>
      </c>
      <c r="B6" s="40" t="inlineStr">
        <is>
          <t>443 → 127.0.0.1:8443(catalog)/8444(trade)</t>
        </is>
      </c>
      <c r="C6" s="40" t="inlineStr">
        <is>
          <t>443 HTTPS/WSS</t>
        </is>
      </c>
      <c r="D6" s="40" t="inlineStr">
        <is>
          <t>—</t>
        </is>
      </c>
    </row>
    <row r="7">
      <c r="A7" s="40" t="inlineStr">
        <is>
          <t>数据</t>
        </is>
      </c>
      <c r="B7" s="40" t="inlineStr">
        <is>
          <t>catalog.db、registry.db、outbox/*.wal、inventory.snapshot、/srv/static/</t>
        </is>
      </c>
      <c r="C7" s="40" t="inlineStr">
        <is>
          <t>core.db（订单/员工/纪念品/审计）</t>
        </is>
      </c>
      <c r="D7" s="40" t="inlineStr">
        <is>
          <t>—</t>
        </is>
      </c>
    </row>
    <row r="8">
      <c r="A8" s="40" t="inlineStr">
        <is>
          <t>时钟</t>
        </is>
      </c>
      <c r="B8" s="40" t="inlineStr">
        <is>
          <t>云镜像默认 chrony → 云厂商内网 NTP</t>
        </is>
      </c>
      <c r="C8" s="40" t="inlineStr">
        <is>
          <t>同左</t>
        </is>
      </c>
      <c r="D8" s="40" t="inlineStr">
        <is>
          <t>—</t>
        </is>
      </c>
    </row>
    <row r="9">
      <c r="A9" s="40" t="inlineStr">
        <is>
          <t>备份策略</t>
        </is>
      </c>
      <c r="B9" s="40" t="inlineStr">
        <is>
          <t>云盘快照；活动结束归档双介质</t>
        </is>
      </c>
      <c r="C9" s="40" t="inlineStr">
        <is>
          <t>每 30min VACUUM INTO + 云快照 + U 盘离线副本</t>
        </is>
      </c>
      <c r="D9" s="40" t="inlineStr">
        <is>
          <t>—</t>
        </is>
      </c>
    </row>
    <row r="10">
      <c r="A10" s="40" t="inlineStr">
        <is>
          <t>安全组</t>
        </is>
      </c>
      <c r="B10" s="40" t="inlineStr">
        <is>
          <t>公网仅 443；SSH 22 仅运维出口 IP + 密钥</t>
        </is>
      </c>
      <c r="C10" s="40" t="inlineStr">
        <is>
          <t>同左</t>
        </is>
      </c>
      <c r="D10" s="40" t="inlineStr">
        <is>
          <t>—</t>
        </is>
      </c>
    </row>
    <row r="11">
      <c r="A11" s="40" t="inlineStr">
        <is>
          <t>关键调优参数</t>
        </is>
      </c>
      <c r="B11" s="40" t="inlineStr">
        <is>
          <t>batch_max=50；batch_interval=1s；退避 1/2/4/5/5s；图片 webp ≤200KB；匿名限流 30 req/min</t>
        </is>
      </c>
      <c r="C11" s="40" t="inlineStr">
        <is>
          <t>心跳 15s；45s 判离线改派</t>
        </is>
      </c>
      <c r="D11" s="40" t="inlineStr">
        <is>
          <t>—</t>
        </is>
      </c>
    </row>
    <row r="12">
      <c r="A12" s="40" t="inlineStr">
        <is>
          <t>故障处置</t>
        </is>
      </c>
      <c r="B12" s="40" t="inlineStr">
        <is>
          <t>catalog/trade 进程独立重启；整机故障走云镜像+数据盘 3min 重建</t>
        </is>
      </c>
      <c r="C12" s="40" t="inlineStr">
        <is>
          <t>重启 ≤30s，WAL/账本无损</t>
        </is>
      </c>
      <c r="D12" s="40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>
      <c r="A1" s="5" t="inlineStr">
        <is>
          <t>周次</t>
        </is>
      </c>
      <c r="B1" s="5" t="inlineStr">
        <is>
          <t>动作</t>
        </is>
      </c>
      <c r="C1" s="5" t="inlineStr">
        <is>
          <t>负责人</t>
        </is>
      </c>
      <c r="D1" s="5" t="inlineStr">
        <is>
          <t>状态</t>
        </is>
      </c>
      <c r="E1" s="5" t="inlineStr">
        <is>
          <t>完成日期</t>
        </is>
      </c>
      <c r="F1" s="5" t="inlineStr">
        <is>
          <t>备注</t>
        </is>
      </c>
    </row>
    <row r="2">
      <c r="A2" s="41" t="inlineStr">
        <is>
          <t>W1</t>
        </is>
      </c>
      <c r="B2" s="40" t="inlineStr">
        <is>
          <t>域名/备案立即启动（1–3 周）；云 ECS×2 开通初始化；CDN 开通与缓存规则验证</t>
        </is>
      </c>
      <c r="C2" s="41" t="inlineStr">
        <is>
          <t>成员A/B</t>
        </is>
      </c>
      <c r="D2" s="41" t="inlineStr">
        <is>
          <t>进行中</t>
        </is>
      </c>
      <c r="E2" s="41" t="inlineStr"/>
      <c r="F2" s="40" t="n"/>
    </row>
    <row r="3">
      <c r="A3" s="41" t="inlineStr">
        <is>
          <t>W1</t>
        </is>
      </c>
      <c r="B3" s="40" t="inlineStr">
        <is>
          <t>征借申请发出（学校资产/社团/个人）；全新采购项比价下单</t>
        </is>
      </c>
      <c r="C3" s="41" t="inlineStr">
        <is>
          <t>成员B</t>
        </is>
      </c>
      <c r="D3" s="41" t="inlineStr">
        <is>
          <t>待办</t>
        </is>
      </c>
      <c r="E3" s="41" t="inlineStr"/>
      <c r="F3" s="40" t="n"/>
    </row>
    <row r="4">
      <c r="A4" s="41" t="inlineStr">
        <is>
          <t>W1</t>
        </is>
      </c>
      <c r="B4" s="40" t="inlineStr">
        <is>
          <t>SIM 核对（已办理√）：确认两卡流量余额 ≥20G、分属两家运营商</t>
        </is>
      </c>
      <c r="C4" s="41" t="inlineStr">
        <is>
          <t>成员B</t>
        </is>
      </c>
      <c r="D4" s="41" t="inlineStr">
        <is>
          <t>已完成</t>
        </is>
      </c>
      <c r="E4" s="41" t="inlineStr"/>
      <c r="F4" s="40" t="n"/>
    </row>
    <row r="5">
      <c r="A5" s="41" t="inlineStr">
        <is>
          <t>W2–W3</t>
        </is>
      </c>
      <c r="B5" s="40" t="inlineStr">
        <is>
          <t>到货验收（对照 BOM 逐项打勾）</t>
        </is>
      </c>
      <c r="C5" s="41" t="inlineStr">
        <is>
          <t>成员B</t>
        </is>
      </c>
      <c r="D5" s="41" t="inlineStr">
        <is>
          <t>待办</t>
        </is>
      </c>
      <c r="E5" s="41" t="inlineStr"/>
      <c r="F5" s="40" t="n"/>
    </row>
    <row r="6">
      <c r="A6" s="41" t="inlineStr">
        <is>
          <t>W4–W5</t>
        </is>
      </c>
      <c r="B6" s="40" t="inlineStr">
        <is>
          <t>打印机机型兼容验证（C3 到货即测）；AP 实地试装；云上压测（含公网链路）</t>
        </is>
      </c>
      <c r="C6" s="41" t="inlineStr">
        <is>
          <t>成员B</t>
        </is>
      </c>
      <c r="D6" s="41" t="inlineStr">
        <is>
          <t>待办</t>
        </is>
      </c>
      <c r="E6" s="41" t="inlineStr"/>
      <c r="F6" s="40" t="n"/>
    </row>
    <row r="7">
      <c r="A7" s="41" t="inlineStr">
        <is>
          <t>W6</t>
        </is>
      </c>
      <c r="B7" s="40" t="inlineStr">
        <is>
          <t>全部物料齐套核查；缺项启动替代方案；云资源费用复核</t>
        </is>
      </c>
      <c r="C7" s="41" t="inlineStr">
        <is>
          <t>成员A/B</t>
        </is>
      </c>
      <c r="D7" s="41" t="inlineStr">
        <is>
          <t>待办</t>
        </is>
      </c>
      <c r="E7" s="41" t="inlineStr"/>
      <c r="F7" s="40" t="n"/>
    </row>
    <row r="8">
      <c r="A8" s="41" t="inlineStr">
        <is>
          <t>W7</t>
        </is>
      </c>
      <c r="B8" s="40" t="inlineStr">
        <is>
          <t>彩排全要素使用；耗材按彩排消耗补货</t>
        </is>
      </c>
      <c r="C8" s="41" t="inlineStr">
        <is>
          <t>成员A/B</t>
        </is>
      </c>
      <c r="D8" s="41" t="inlineStr">
        <is>
          <t>待办</t>
        </is>
      </c>
      <c r="E8" s="41" t="inlineStr"/>
      <c r="F8" s="40" t="n"/>
    </row>
    <row r="9">
      <c r="A9" s="41" t="inlineStr">
        <is>
          <t>W8</t>
        </is>
      </c>
      <c r="B9" s="40" t="inlineStr">
        <is>
          <t>装箱清单（箱号-物料-数量-负责人）随设备运输</t>
        </is>
      </c>
      <c r="C9" s="41" t="inlineStr">
        <is>
          <t>成员B</t>
        </is>
      </c>
      <c r="D9" s="41" t="inlineStr">
        <is>
          <t>待办</t>
        </is>
      </c>
      <c r="E9" s="41" t="inlineStr"/>
      <c r="F9" s="40" t="n"/>
    </row>
    <row r="10">
      <c r="A10" s="41" t="inlineStr">
        <is>
          <t>W8+</t>
        </is>
      </c>
      <c r="B10" s="40" t="inlineStr">
        <is>
          <t>ECS 制作最终快照后释放/降配；CDN 停用；设备归还销账；密钥包销毁登记</t>
        </is>
      </c>
      <c r="C10" s="41" t="inlineStr">
        <is>
          <t>成员B</t>
        </is>
      </c>
      <c r="D10" s="41" t="inlineStr">
        <is>
          <t>待办</t>
        </is>
      </c>
      <c r="E10" s="41" t="inlineStr">
        <is>
          <t>活动结束当日</t>
        </is>
      </c>
      <c r="F10" s="40" t="n"/>
    </row>
  </sheetData>
  <dataValidations count="1">
    <dataValidation sqref="D2:D10" showDropDown="0" showInputMessage="0" showErrorMessage="0" allowBlank="1" type="list">
      <formula1>"待办,进行中,已完成,取消"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2026-09-04T17:28:19Z</dcterms:created>
  <dcterms:modified xmlns:dcterms="http://purl.org/dc/terms/" xmlns:xsi="http://www.w3.org/2001/XMLSchema-instance" xsi:type="dcterms:W3CDTF">2026-09-04T17:28:19Z</dcterms:modified>
</cp:coreProperties>
</file>